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Dashboard" sheetId="2" state="visible" r:id="rId4"/>
    <sheet name="_Data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<sst xmlns="http://schemas.openxmlformats.org/spreadsheetml/2006/main" count="89" uniqueCount="59">
  <si>
    <t xml:space="preserve">Link</t>
  </si>
  <si>
    <t xml:space="preserve">SKU</t>
  </si>
  <si>
    <t xml:space="preserve">Product</t>
  </si>
  <si>
    <t xml:space="preserve">Brand</t>
  </si>
  <si>
    <t xml:space="preserve">Condition</t>
  </si>
  <si>
    <t xml:space="preserve">Cost</t>
  </si>
  <si>
    <t xml:space="preserve">Sales Price</t>
  </si>
  <si>
    <t xml:space="preserve">Qty</t>
  </si>
  <si>
    <t xml:space="preserve">eBay Item ID</t>
  </si>
  <si>
    <t xml:space="preserve">Shipping</t>
  </si>
  <si>
    <t xml:space="preserve">Dell Latitude 5430 Laptop Computer PC Intel i5 Up To 32GB RAM 1TB SSD Windows 11 | eBay</t>
  </si>
  <si>
    <t xml:space="preserve">LAP-DELL-5420-A-001</t>
  </si>
  <si>
    <t xml:space="preserve">Dell Latitude 5420</t>
  </si>
  <si>
    <t xml:space="preserve">Dell</t>
  </si>
  <si>
    <t xml:space="preserve">B</t>
  </si>
  <si>
    <t xml:space="preserve">Free</t>
  </si>
  <si>
    <t xml:space="preserve">Jumper</t>
  </si>
  <si>
    <t xml:space="preserve">LAP-JUMP-5205U-N-001</t>
  </si>
  <si>
    <t xml:space="preserve">15.6" jumper Windows Laptop</t>
  </si>
  <si>
    <t xml:space="preserve">jumper</t>
  </si>
  <si>
    <t xml:space="preserve">A</t>
  </si>
  <si>
    <t xml:space="preserve">Microsoft Surface Go Laptop 12.4" i5-1035G1 16GB 256GB SSD Win 11 Pro 1943 PLT | eBay</t>
  </si>
  <si>
    <t xml:space="preserve">LAP-MICRO-1943-VG-001</t>
  </si>
  <si>
    <t xml:space="preserve">Microsoft Surface Pro 12.4" Laptop</t>
  </si>
  <si>
    <t xml:space="preserve">Microsoft</t>
  </si>
  <si>
    <t xml:space="preserve">Acer Aspire 3 15.6" Ryzen 5 7520U 7000 Ser 16GB 1TB SSD Radeon Graphics Refurb | eBay</t>
  </si>
  <si>
    <t xml:space="preserve">LAP-ACER-2023-C-001</t>
  </si>
  <si>
    <t xml:space="preserve">Acer Aspire 3 15.6"</t>
  </si>
  <si>
    <t xml:space="preserve">Acer</t>
  </si>
  <si>
    <t xml:space="preserve">ASUS</t>
  </si>
  <si>
    <t xml:space="preserve">LAP-ASUS-69-U-001</t>
  </si>
  <si>
    <t xml:space="preserve">ASUS BR1100CK 11.6"</t>
  </si>
  <si>
    <t xml:space="preserve">C</t>
  </si>
  <si>
    <t xml:space="preserve">DELL</t>
  </si>
  <si>
    <t xml:space="preserve">LAP-DELL-5420-A-002</t>
  </si>
  <si>
    <t xml:space="preserve">Dell Latitude Business Laptop 14"</t>
  </si>
  <si>
    <t xml:space="preserve">Lenovo 300w Gen 3 2-in-1 Touchscreen 11.6" HD Laptop AMD 4GB RAM 64GB SSD Win 11 | eBay</t>
  </si>
  <si>
    <t xml:space="preserve">LAP-LEN-69503-A-001</t>
  </si>
  <si>
    <t xml:space="preserve">Lenovo 300w Gen 3 2-in-1 Touchscreen 11.6"</t>
  </si>
  <si>
    <t xml:space="preserve">Lenovo</t>
  </si>
  <si>
    <t xml:space="preserve">Dell Latitude 15.6” FHD Core i5 Laptop PC Up To 32GB RAM 1TB SSD Windows 11 | eBay</t>
  </si>
  <si>
    <t xml:space="preserve">LAP-DELL-5510-A-001</t>
  </si>
  <si>
    <t xml:space="preserve">Dell Latitude 15.6" FHD</t>
  </si>
  <si>
    <t xml:space="preserve">Lenovo ThinkPad L14 Business Laptop 14” FHD Intel i5 16GB RAM 512GB SSD Win 11 | eBay</t>
  </si>
  <si>
    <t xml:space="preserve">LAP-LEN-X13</t>
  </si>
  <si>
    <t xml:space="preserve">Lenovo ThinkPad X13 Yoga Gen 2 Laptop 13.3"</t>
  </si>
  <si>
    <t xml:space="preserve">📊  E-COMMERCE INVENTORY DASHBOARD</t>
  </si>
  <si>
    <t xml:space="preserve">TOTAL INVENTORY VALUE</t>
  </si>
  <si>
    <t xml:space="preserve">TOTAL ESTIMATED PROFIT</t>
  </si>
  <si>
    <t xml:space="preserve">TOTAL QUANTITY</t>
  </si>
  <si>
    <t xml:space="preserve">ACTIVE LISTINGS</t>
  </si>
  <si>
    <t xml:space="preserve">Cost × Qty</t>
  </si>
  <si>
    <t xml:space="preserve">(Price − Cost) × Qty</t>
  </si>
  <si>
    <t xml:space="preserve">Units in Stock</t>
  </si>
  <si>
    <t xml:space="preserve">SKUs Listed</t>
  </si>
  <si>
    <t xml:space="preserve">Inv. Value ($)</t>
  </si>
  <si>
    <t xml:space="preserve">Avg Sale Price ($)</t>
  </si>
  <si>
    <t xml:space="preserve">Quantity</t>
  </si>
  <si>
    <t xml:space="preserve">Price ($)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</si>
</sst>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.00"/>
    <numFmt numFmtId="167" formatCode="#,##0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theme="1"/>
      <name val="Arial"/>
      <family val="0"/>
      <charset val="1"/>
    </font>
    <font>
      <sz val="11"/>
      <color rgb="FF191919"/>
      <name val="Arial"/>
      <family val="0"/>
      <charset val="1"/>
    </font>
    <font>
      <sz val="11"/>
      <color rgb="FF707070"/>
      <name val="&quot;Market Sans&quot;"/>
      <family val="0"/>
      <charset val="1"/>
    </font>
    <font>
      <b val="true"/>
      <sz val="11"/>
      <color rgb="FF707070"/>
      <name val="&quot;Market Sans&quot;"/>
      <family val="0"/>
      <charset val="1"/>
    </font>
    <font>
      <b val="true"/>
      <sz val="20"/>
      <color rgb="FFE8F0F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BFC9D4"/>
      <name val="Arial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E2140"/>
        <bgColor rgb="FF191919"/>
      </patternFill>
    </fill>
    <fill>
      <patternFill patternType="solid">
        <fgColor rgb="FFFFFFFF"/>
        <bgColor rgb="FFFFFFCC"/>
      </patternFill>
    </fill>
    <fill>
      <patternFill patternType="solid">
        <fgColor rgb="FF4361EE"/>
        <bgColor rgb="FF4285F4"/>
      </patternFill>
    </fill>
    <fill>
      <patternFill patternType="solid">
        <fgColor rgb="FF2DC7AA"/>
        <bgColor rgb="FF00CCFF"/>
      </patternFill>
    </fill>
    <fill>
      <patternFill patternType="solid">
        <fgColor rgb="FFF4A261"/>
        <bgColor rgb="FFFF9900"/>
      </patternFill>
    </fill>
    <fill>
      <patternFill patternType="solid">
        <fgColor rgb="FFEF476F"/>
        <bgColor rgb="FFEA433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4"/>
      <rgbColor rgb="FF8B8B8B"/>
      <rgbColor rgb="FF9999FF"/>
      <rgbColor rgb="FFEF476F"/>
      <rgbColor rgb="FFFFFFCC"/>
      <rgbColor rgb="FFE8F0FE"/>
      <rgbColor rgb="FF660066"/>
      <rgbColor rgb="FFF4A261"/>
      <rgbColor rgb="FF4285F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361EE"/>
      <rgbColor rgb="FF2DC7AA"/>
      <rgbColor rgb="FF99CC00"/>
      <rgbColor rgb="FFFBBC04"/>
      <rgbColor rgb="FFFF9900"/>
      <rgbColor rgb="FFEA4335"/>
      <rgbColor rgb="FF707070"/>
      <rgbColor rgb="FF969696"/>
      <rgbColor rgb="FF003366"/>
      <rgbColor rgb="FF339966"/>
      <rgbColor rgb="FF191919"/>
      <rgbColor rgb="FF333300"/>
      <rgbColor rgb="FF993300"/>
      <rgbColor rgb="FF993366"/>
      <rgbColor rgb="FF333399"/>
      <rgbColor rgb="FF1E21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Inventory Value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_Data!B1</c:f>
              <c:strCache>
                <c:ptCount val="1"/>
                <c:pt idx="0">
                  <c:v>Inv. Value ($)</c:v>
                </c:pt>
              </c:strCache>
            </c:strRef>
          </c:tx>
          <c:spPr>
            <a:solidFill>
              <a:srgbClr val="4285f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_Data!$A$2:$A$7</c:f>
              <c:strCache>
                <c:ptCount val="6"/>
                <c:pt idx="0">
                  <c:v>Acer</c:v>
                </c:pt>
                <c:pt idx="1">
                  <c:v>ASUS</c:v>
                </c:pt>
                <c:pt idx="2">
                  <c:v>Dell</c:v>
                </c:pt>
                <c:pt idx="3">
                  <c:v>jumper</c:v>
                </c:pt>
                <c:pt idx="4">
                  <c:v>Lenovo</c:v>
                </c:pt>
                <c:pt idx="5">
                  <c:v>Microsoft</c:v>
                </c:pt>
              </c:strCache>
            </c:strRef>
          </c:cat>
          <c:val>
            <c:numRef>
              <c:f>_Data!$B$2:$B$7</c:f>
              <c:numCache>
                <c:formatCode>General</c:formatCode>
                <c:ptCount val="6"/>
                <c:pt idx="0">
                  <c:v>3200.037</c:v>
                </c:pt>
                <c:pt idx="1">
                  <c:v>403</c:v>
                </c:pt>
                <c:pt idx="2">
                  <c:v>4605.949</c:v>
                </c:pt>
                <c:pt idx="3">
                  <c:v>131.74225</c:v>
                </c:pt>
                <c:pt idx="4">
                  <c:v>3837.831</c:v>
                </c:pt>
                <c:pt idx="5">
                  <c:v>2231.907</c:v>
                </c:pt>
              </c:numCache>
            </c:numRef>
          </c:val>
        </c:ser>
        <c:gapWidth val="150"/>
        <c:overlap val="0"/>
        <c:axId val="87563362"/>
        <c:axId val="60626626"/>
      </c:barChart>
      <c:catAx>
        <c:axId val="875633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0626626"/>
        <c:crosses val="autoZero"/>
        <c:auto val="1"/>
        <c:lblAlgn val="ctr"/>
        <c:lblOffset val="100"/>
        <c:noMultiLvlLbl val="0"/>
      </c:catAx>
      <c:valAx>
        <c:axId val="6062662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75633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Quantity by Condition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_Data!G1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285f4"/>
            </a:solidFill>
            <a:ln w="6480">
              <a:solidFill>
                <a:srgbClr val="ffffff"/>
              </a:solidFill>
              <a:round/>
            </a:ln>
          </c:spPr>
          <c:explosion val="0"/>
          <c:dPt>
            <c:idx val="0"/>
            <c:spPr>
              <a:solidFill>
                <a:srgbClr val="4285f4"/>
              </a:solidFill>
              <a:ln w="64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ea4335"/>
              </a:solidFill>
              <a:ln w="64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fbbc04"/>
              </a:solidFill>
              <a:ln w="64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_Data!$F$2:$F$4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_Data!$G$2:$G$4</c:f>
              <c:numCache>
                <c:formatCode>General</c:formatCode>
                <c:ptCount val="3"/>
                <c:pt idx="0">
                  <c:v>25</c:v>
                </c:pt>
                <c:pt idx="1">
                  <c:v>10</c:v>
                </c:pt>
                <c:pt idx="2">
                  <c:v>47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Avg Sale Price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_Data!C1</c:f>
              <c:strCache>
                <c:ptCount val="1"/>
                <c:pt idx="0">
                  <c:v>Avg Sale Price ($)</c:v>
                </c:pt>
              </c:strCache>
            </c:strRef>
          </c:tx>
          <c:spPr>
            <a:solidFill>
              <a:srgbClr val="4285f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_Data!$A$2:$A$7</c:f>
              <c:strCache>
                <c:ptCount val="6"/>
                <c:pt idx="0">
                  <c:v>Acer</c:v>
                </c:pt>
                <c:pt idx="1">
                  <c:v>ASUS</c:v>
                </c:pt>
                <c:pt idx="2">
                  <c:v>Dell</c:v>
                </c:pt>
                <c:pt idx="3">
                  <c:v>jumper</c:v>
                </c:pt>
                <c:pt idx="4">
                  <c:v>Lenovo</c:v>
                </c:pt>
                <c:pt idx="5">
                  <c:v>Microsoft</c:v>
                </c:pt>
              </c:strCache>
            </c:strRef>
          </c:cat>
          <c:val>
            <c:numRef>
              <c:f>_Data!$C$2:$C$7</c:f>
              <c:numCache>
                <c:formatCode>General</c:formatCode>
                <c:ptCount val="6"/>
                <c:pt idx="0">
                  <c:v>344.09</c:v>
                </c:pt>
                <c:pt idx="1">
                  <c:v>52</c:v>
                </c:pt>
                <c:pt idx="2">
                  <c:v>246.493333333333</c:v>
                </c:pt>
                <c:pt idx="3">
                  <c:v>169.99</c:v>
                </c:pt>
                <c:pt idx="4">
                  <c:v>206.335</c:v>
                </c:pt>
                <c:pt idx="5">
                  <c:v>239.99</c:v>
                </c:pt>
              </c:numCache>
            </c:numRef>
          </c:val>
        </c:ser>
        <c:gapWidth val="150"/>
        <c:overlap val="0"/>
        <c:axId val="75496769"/>
        <c:axId val="17968839"/>
      </c:barChart>
      <c:catAx>
        <c:axId val="754967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7968839"/>
        <c:crosses val="autoZero"/>
        <c:auto val="1"/>
        <c:lblAlgn val="ctr"/>
        <c:lblOffset val="100"/>
        <c:noMultiLvlLbl val="0"/>
      </c:catAx>
      <c:valAx>
        <c:axId val="1796883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Avg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54967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Top 5 Most Expensive Products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_Data!J1</c:f>
              <c:strCache>
                <c:ptCount val="1"/>
                <c:pt idx="0">
                  <c:v>Price ($)</c:v>
                </c:pt>
              </c:strCache>
            </c:strRef>
          </c:tx>
          <c:spPr>
            <a:solidFill>
              <a:srgbClr val="4285f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_Data!$I$2:$I$6</c:f>
              <c:strCache>
                <c:ptCount val="5"/>
                <c:pt idx="0">
                  <c:v>Acer Aspire 3 15.6"</c:v>
                </c:pt>
                <c:pt idx="1">
                  <c:v>Lenovo ThinkPad X13 Yoga Gen 2 Laptop 13.3"</c:v>
                </c:pt>
                <c:pt idx="2">
                  <c:v>Dell Latitude Business Laptop 14"</c:v>
                </c:pt>
                <c:pt idx="3">
                  <c:v>Microsoft Surface Pro 12.4" Laptop</c:v>
                </c:pt>
                <c:pt idx="4">
                  <c:v>Dell Latitude 15.6" FHD</c:v>
                </c:pt>
              </c:strCache>
            </c:strRef>
          </c:cat>
          <c:val>
            <c:numRef>
              <c:f>_Data!$J$2:$J$6</c:f>
              <c:numCache>
                <c:formatCode>General</c:formatCode>
                <c:ptCount val="5"/>
                <c:pt idx="0">
                  <c:v>344.09</c:v>
                </c:pt>
                <c:pt idx="1">
                  <c:v>302.68</c:v>
                </c:pt>
                <c:pt idx="2">
                  <c:v>289.65</c:v>
                </c:pt>
                <c:pt idx="3">
                  <c:v>239.99</c:v>
                </c:pt>
                <c:pt idx="4">
                  <c:v>225.66</c:v>
                </c:pt>
              </c:numCache>
            </c:numRef>
          </c:val>
        </c:ser>
        <c:gapWidth val="150"/>
        <c:overlap val="0"/>
        <c:axId val="9923095"/>
        <c:axId val="57661597"/>
      </c:barChart>
      <c:catAx>
        <c:axId val="992309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Sale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7661597"/>
        <c:crosses val="autoZero"/>
        <c:auto val="1"/>
        <c:lblAlgn val="ctr"/>
        <c:lblOffset val="100"/>
        <c:noMultiLvlLbl val="0"/>
      </c:catAx>
      <c:valAx>
        <c:axId val="5766159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9230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7</xdr:col>
      <xdr:colOff>785520</xdr:colOff>
      <xdr:row>31</xdr:row>
      <xdr:rowOff>38880</xdr:rowOff>
    </xdr:to>
    <xdr:graphicFrame>
      <xdr:nvGraphicFramePr>
        <xdr:cNvPr id="0" name="Chart 1"/>
        <xdr:cNvGraphicFramePr/>
      </xdr:nvGraphicFramePr>
      <xdr:xfrm>
        <a:off x="0" y="189540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16</xdr:col>
      <xdr:colOff>65520</xdr:colOff>
      <xdr:row>31</xdr:row>
      <xdr:rowOff>38880</xdr:rowOff>
    </xdr:to>
    <xdr:graphicFrame>
      <xdr:nvGraphicFramePr>
        <xdr:cNvPr id="1" name="Chart 2"/>
        <xdr:cNvGraphicFramePr/>
      </xdr:nvGraphicFramePr>
      <xdr:xfrm>
        <a:off x="8246880" y="189540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7</xdr:col>
      <xdr:colOff>785520</xdr:colOff>
      <xdr:row>51</xdr:row>
      <xdr:rowOff>39240</xdr:rowOff>
    </xdr:to>
    <xdr:graphicFrame>
      <xdr:nvGraphicFramePr>
        <xdr:cNvPr id="2" name="Chart 3"/>
        <xdr:cNvGraphicFramePr/>
      </xdr:nvGraphicFramePr>
      <xdr:xfrm>
        <a:off x="0" y="589608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16</xdr:col>
      <xdr:colOff>65520</xdr:colOff>
      <xdr:row>51</xdr:row>
      <xdr:rowOff>39240</xdr:rowOff>
    </xdr:to>
    <xdr:graphicFrame>
      <xdr:nvGraphicFramePr>
        <xdr:cNvPr id="3" name="Chart 4"/>
        <xdr:cNvGraphicFramePr/>
      </xdr:nvGraphicFramePr>
      <xdr:xfrm>
        <a:off x="8246880" y="58960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bay.com/itm/286393092388?_skw=laptop&amp;itmmeta=01KVA1Y03Y4M40BF89RWFQYYZ6&amp;hash=item42ae5bc924:g:0DgAAeSw9G5p5kZ6&amp;itmprp=enc%3AAQALAAAAwGfYFPkwiKCW4ZNSs2u11xCtP9yEOduNGJ%2B02V15xKRN%2Ffeqe8kboQm%2FEMUK5vZK98j4h88mkPQ27icMqcCqhs2KxOz9nzjTY7baNZbi" TargetMode="External"/><Relationship Id="rId2" Type="http://schemas.openxmlformats.org/officeDocument/2006/relationships/hyperlink" Target="https://www.ebay.com/itm/317575480563?_skw=laptop&amp;itmmeta=01KVA1Y03YH1M57ZXCWTAS1TV0&amp;hash=item49f0f944f3:g:VTUAAeSwIZJpHPtO&amp;itmprp=enc%3AAQALAAAA4GfYFPkwiKCW4ZNSs2u11xAk2EknYQRsKVzAjgTdAsmKUIFNUb7SuzGbjm4ufxMQiiXNf4eJ7b4klzAO7hybluDBsiKSlq%2BpTbSME3p%2F07" TargetMode="External"/><Relationship Id="rId3" Type="http://schemas.openxmlformats.org/officeDocument/2006/relationships/hyperlink" Target="https://www.ebay.com/itm/198143266086?_skw=refurbished+laptop&amp;itmmeta=01KVA4WXQ9XVF7BY08K3Z5K3Q1&amp;hash=item2e22424d26:g:DPwAAeSwjwJqLGw~&amp;itmprp=enc%3AAQALAAAA8GfYFPkwiKCW4ZNSs2u11xAO9X4mFXN6KTLah8XeyGZGW6VyNOZ3A0iUOTHa3uUuQd55olcqz%2FjMEbRDWDp9mdd8dmPIMVnm" TargetMode="External"/><Relationship Id="rId4" Type="http://schemas.openxmlformats.org/officeDocument/2006/relationships/hyperlink" Target="https://www.ebay.com/itm/277623301371?_skw=refurbished+laptop&amp;itmmeta=01KVA4WXQ91SKSHM6DP1NE8SCR&amp;hash=item40a3a364fb:g:2ywAAeSwaENp4Rb2&amp;itmprp=enc%3AAQALAAAA8GfYFPkwiKCW4ZNSs2u11xD7jJyeFOQjWd5y8VZfaWrAfCA7QQ9cvkjnrx23fG%2FJxqKOoD10%2FgWFQG%2Br9rJDBwwx60hN" TargetMode="External"/><Relationship Id="rId5" Type="http://schemas.openxmlformats.org/officeDocument/2006/relationships/hyperlink" Target="https://www.ebay.com/itm/336613650826?_skw=refurbished+laptop&amp;epid=19065122134&amp;itmmeta=01KVA4WXQ9328VYG6M2QFA5DTR&amp;hash=item4e5fbcb18a:g:rHUAAeSwNBlp37xM&amp;itmprp=enc%3AAQALAAAA8GfYFPkwiKCW4ZNSs2u11xCW%2FoCacaukVVvodOuLiKJ%2FOoiQNWCmoFGsqrZGiTHw7zlwHhIK0ua91" TargetMode="External"/><Relationship Id="rId6" Type="http://schemas.openxmlformats.org/officeDocument/2006/relationships/hyperlink" Target="https://www.ebay.com/itm/286289441911?_skw=refurbished+laptop&amp;itmmeta=01KVA4WXQ9AB2PWCDN78QDRX3A&amp;hash=item42a82e3477:g:aqsAAeSw6B9qMSIZ&amp;itmprp=enc%3AAQALAAAA0GfYFPkwiKCW4ZNSs2u11xDDmNTKDRn69LpbmfXQpYVkoxiTbkUYNS4mTxXQJJT3qrkZyNIQPrBDLZnUwQfHCzLXNhcgHBr32n" TargetMode="External"/><Relationship Id="rId7" Type="http://schemas.openxmlformats.org/officeDocument/2006/relationships/hyperlink" Target="https://www.ebay.com/itm/264476753478?_skw=refurbished+laptop&amp;itmmeta=01KVA4WXQ997HFRX2VZC7240Y4&amp;hash=item3d940afe46:g:3CMAAeSwQjhqLM7r&amp;itmprp=enc%3AAQALAAAA0GfYFPkwiKCW4ZNSs2u11xB2rbxW7%2BQGzhkaRP1aMc%2Bh2v74it9I%2FVT2ixseXFp3NkWnu%2FBOLSIU8iGeVHxbHNFKZE" TargetMode="External"/><Relationship Id="rId8" Type="http://schemas.openxmlformats.org/officeDocument/2006/relationships/hyperlink" Target="https://www.ebay.com/itm/256879744174?_skw=refurbished+laptop&amp;itmmeta=01KVA4WXQ9JMRR9QRW4Z64TDSQ&amp;hash=item3bcf39d4ae:g:kSsAAeSw0r5pZ8WR&amp;itmprp=enc%3AAQALAAAA0GfYFPkwiKCW4ZNSs2u11xC8twSGUd6vQaQ7EE3LkcCjzypy6wI8Gccpl3fBoGEEBr7dT3lDvB2lvt30Tvv1OHhYimhq7q8eH9" TargetMode="External"/><Relationship Id="rId9" Type="http://schemas.openxmlformats.org/officeDocument/2006/relationships/hyperlink" Target="https://www.ebay.com/itm/257114279818?_skw=refurbished+laptop&amp;itmmeta=01KVA4WXQAFB0NYVYSCSN6B2K8&amp;hash=item3bdd348f8a:g:YXwAAeSwHJ5qMQr7&amp;itmprp=enc%3AAQALAAAA0GfYFPkwiKCW4ZNSs2u11xAhReWx9NL0QAa0t--PTwYidInWezHkbdhoB9l%2FCl2uvbDnSMIHpNLZsIpYdT%2FzXmW%2FFy%2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C7AA"/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7"/>
    <col collapsed="false" customWidth="true" hidden="false" outlineLevel="0" max="9" min="9" style="0" width="18"/>
    <col collapsed="false" customWidth="true" hidden="false" outlineLevel="0" max="10" min="10" style="0" width="8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.75" hidden="false" customHeight="fals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n">
        <f aca="false">G2*0.775</f>
        <v>173.73175</v>
      </c>
      <c r="G2" s="5" t="n">
        <v>224.17</v>
      </c>
      <c r="H2" s="3" t="n">
        <v>10</v>
      </c>
      <c r="I2" s="6" t="n">
        <v>286393092388</v>
      </c>
      <c r="J2" s="3" t="s">
        <v>15</v>
      </c>
    </row>
    <row r="3" customFormat="false" ht="15.75" hidden="false" customHeight="false" outlineLevel="0" collapsed="false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4" t="n">
        <f aca="false">G3*0.775</f>
        <v>131.74225</v>
      </c>
      <c r="G3" s="4" t="n">
        <v>169.99</v>
      </c>
      <c r="H3" s="3" t="n">
        <v>1</v>
      </c>
      <c r="I3" s="7" t="n">
        <v>317575480563</v>
      </c>
      <c r="J3" s="3" t="s">
        <v>15</v>
      </c>
    </row>
    <row r="4" customFormat="false" ht="15.75" hidden="false" customHeight="false" outlineLevel="0" collapsed="false">
      <c r="A4" s="2" t="s">
        <v>21</v>
      </c>
      <c r="B4" s="3" t="s">
        <v>22</v>
      </c>
      <c r="C4" s="3" t="s">
        <v>23</v>
      </c>
      <c r="D4" s="3" t="s">
        <v>24</v>
      </c>
      <c r="E4" s="3" t="s">
        <v>20</v>
      </c>
      <c r="F4" s="4" t="n">
        <f aca="false">G4*0.775</f>
        <v>185.99225</v>
      </c>
      <c r="G4" s="4" t="n">
        <v>239.99</v>
      </c>
      <c r="H4" s="3" t="n">
        <v>12</v>
      </c>
      <c r="I4" s="7" t="n">
        <v>198143266086</v>
      </c>
      <c r="J4" s="3" t="s">
        <v>15</v>
      </c>
    </row>
    <row r="5" customFormat="false" ht="15.75" hidden="false" customHeight="false" outlineLevel="0" collapsed="false">
      <c r="A5" s="2" t="s">
        <v>25</v>
      </c>
      <c r="B5" s="3" t="s">
        <v>26</v>
      </c>
      <c r="C5" s="3" t="s">
        <v>27</v>
      </c>
      <c r="D5" s="3" t="s">
        <v>28</v>
      </c>
      <c r="E5" s="3" t="s">
        <v>20</v>
      </c>
      <c r="F5" s="4" t="n">
        <f aca="false">G5*0.775</f>
        <v>266.66975</v>
      </c>
      <c r="G5" s="4" t="n">
        <v>344.09</v>
      </c>
      <c r="H5" s="3" t="n">
        <v>12</v>
      </c>
      <c r="I5" s="7" t="n">
        <v>277623301371</v>
      </c>
      <c r="J5" s="3" t="s">
        <v>15</v>
      </c>
    </row>
    <row r="6" customFormat="false" ht="15.75" hidden="false" customHeight="false" outlineLevel="0" collapsed="false">
      <c r="A6" s="2" t="s">
        <v>29</v>
      </c>
      <c r="B6" s="3" t="s">
        <v>30</v>
      </c>
      <c r="C6" s="3" t="s">
        <v>31</v>
      </c>
      <c r="D6" s="3" t="s">
        <v>29</v>
      </c>
      <c r="E6" s="3" t="s">
        <v>32</v>
      </c>
      <c r="F6" s="4" t="n">
        <f aca="false">G6*0.775</f>
        <v>40.3</v>
      </c>
      <c r="G6" s="4" t="n">
        <v>52</v>
      </c>
      <c r="H6" s="3" t="n">
        <v>10</v>
      </c>
      <c r="I6" s="7" t="n">
        <v>336613650826</v>
      </c>
      <c r="J6" s="4" t="n">
        <v>10</v>
      </c>
    </row>
    <row r="7" customFormat="false" ht="15.75" hidden="false" customHeight="false" outlineLevel="0" collapsed="false">
      <c r="A7" s="2" t="s">
        <v>33</v>
      </c>
      <c r="B7" s="3" t="s">
        <v>34</v>
      </c>
      <c r="C7" s="3" t="s">
        <v>35</v>
      </c>
      <c r="D7" s="3" t="s">
        <v>13</v>
      </c>
      <c r="E7" s="3" t="s">
        <v>32</v>
      </c>
      <c r="F7" s="4" t="n">
        <f aca="false">G7*0.775</f>
        <v>224.47875</v>
      </c>
      <c r="G7" s="4" t="n">
        <v>289.65</v>
      </c>
      <c r="H7" s="3" t="n">
        <v>12</v>
      </c>
      <c r="I7" s="7" t="n">
        <v>286289441911</v>
      </c>
      <c r="J7" s="3" t="s">
        <v>15</v>
      </c>
    </row>
    <row r="8" customFormat="false" ht="15.75" hidden="false" customHeight="false" outlineLevel="0" collapsed="false">
      <c r="A8" s="2" t="s">
        <v>36</v>
      </c>
      <c r="B8" s="3" t="s">
        <v>37</v>
      </c>
      <c r="C8" s="8" t="s">
        <v>38</v>
      </c>
      <c r="D8" s="3" t="s">
        <v>39</v>
      </c>
      <c r="E8" s="3" t="s">
        <v>32</v>
      </c>
      <c r="F8" s="4" t="n">
        <f aca="false">G8*0.775</f>
        <v>85.24225</v>
      </c>
      <c r="G8" s="4" t="n">
        <v>109.99</v>
      </c>
      <c r="H8" s="3" t="n">
        <v>12</v>
      </c>
      <c r="I8" s="7" t="n">
        <v>264476753478</v>
      </c>
      <c r="J8" s="3" t="s">
        <v>15</v>
      </c>
    </row>
    <row r="9" customFormat="false" ht="15.75" hidden="false" customHeight="false" outlineLevel="0" collapsed="false">
      <c r="A9" s="2" t="s">
        <v>40</v>
      </c>
      <c r="B9" s="3" t="s">
        <v>41</v>
      </c>
      <c r="C9" s="3" t="s">
        <v>42</v>
      </c>
      <c r="D9" s="3" t="s">
        <v>13</v>
      </c>
      <c r="E9" s="3" t="s">
        <v>32</v>
      </c>
      <c r="F9" s="4" t="n">
        <f aca="false">G9*0.775</f>
        <v>174.8865</v>
      </c>
      <c r="G9" s="4" t="n">
        <v>225.66</v>
      </c>
      <c r="H9" s="3" t="n">
        <v>1</v>
      </c>
      <c r="I9" s="7" t="n">
        <v>256879744174</v>
      </c>
      <c r="J9" s="3" t="s">
        <v>15</v>
      </c>
    </row>
    <row r="10" customFormat="false" ht="15.75" hidden="false" customHeight="false" outlineLevel="0" collapsed="false">
      <c r="A10" s="2" t="s">
        <v>43</v>
      </c>
      <c r="B10" s="3" t="s">
        <v>44</v>
      </c>
      <c r="C10" s="3" t="s">
        <v>45</v>
      </c>
      <c r="D10" s="3" t="s">
        <v>39</v>
      </c>
      <c r="E10" s="3" t="s">
        <v>32</v>
      </c>
      <c r="F10" s="4" t="n">
        <f aca="false">G10*0.775</f>
        <v>234.577</v>
      </c>
      <c r="G10" s="4" t="n">
        <v>302.68</v>
      </c>
      <c r="H10" s="3" t="n">
        <v>12</v>
      </c>
      <c r="I10" s="7" t="n">
        <v>257114279818</v>
      </c>
      <c r="J10" s="3" t="s">
        <v>15</v>
      </c>
    </row>
  </sheetData>
  <hyperlinks>
    <hyperlink ref="A2" r:id="rId1" display="Dell Latitude 5430 Laptop Computer PC Intel i5 Up To 32GB RAM 1TB SSD Windows 11 | eBay"/>
    <hyperlink ref="A3" r:id="rId2" display="Jumper"/>
    <hyperlink ref="A4" r:id="rId3" display="Microsoft Surface Go Laptop 12.4&quot; i5-1035G1 16GB 256GB SSD Win 11 Pro 1943 PLT | eBay"/>
    <hyperlink ref="A5" r:id="rId4" display="Acer Aspire 3 15.6&quot; Ryzen 5 7520U 7000 Ser 16GB 1TB SSD Radeon Graphics Refurb | eBay"/>
    <hyperlink ref="A6" r:id="rId5" display="ASUS"/>
    <hyperlink ref="A7" r:id="rId6" display="DELL"/>
    <hyperlink ref="A8" r:id="rId7" display="Lenovo 300w Gen 3 2-in-1 Touchscreen 11.6&quot; HD Laptop AMD 4GB RAM 64GB SSD Win 11 | eBay"/>
    <hyperlink ref="A9" r:id="rId8" display="Dell Latitude 15.6” FHD Core i5 Laptop PC Up To 32GB RAM 1TB SSD Windows 11 | eBay"/>
    <hyperlink ref="A10" r:id="rId9" display="Lenovo ThinkPad L14 Business Laptop 14” FHD Intel i5 16GB RAM 512GB SSD Win 11 | eBa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61EE"/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6" min="1" style="0" width="13"/>
  </cols>
  <sheetData>
    <row r="1" customFormat="false" ht="51.75" hidden="false" customHeight="true" outlineLevel="0" collapsed="false">
      <c r="A1" s="9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customFormat="false" ht="9.75" hidden="false" customHeight="true" outlineLevel="0" collapsed="false">
      <c r="A2" s="10"/>
      <c r="B2" s="11"/>
      <c r="C2" s="11"/>
      <c r="D2" s="11"/>
      <c r="E2" s="11"/>
      <c r="F2" s="11"/>
      <c r="G2" s="10"/>
      <c r="H2" s="11"/>
      <c r="I2" s="11"/>
      <c r="J2" s="11"/>
      <c r="K2" s="11"/>
      <c r="L2" s="11"/>
      <c r="M2" s="11"/>
      <c r="N2" s="11"/>
      <c r="O2" s="11"/>
      <c r="P2" s="11"/>
    </row>
    <row r="3" customFormat="false" ht="18" hidden="false" customHeight="true" outlineLevel="0" collapsed="false">
      <c r="A3" s="12" t="s">
        <v>47</v>
      </c>
      <c r="B3" s="12"/>
      <c r="C3" s="12"/>
      <c r="D3" s="12"/>
      <c r="E3" s="13" t="s">
        <v>48</v>
      </c>
      <c r="F3" s="13"/>
      <c r="G3" s="13"/>
      <c r="H3" s="13"/>
      <c r="I3" s="14" t="s">
        <v>49</v>
      </c>
      <c r="J3" s="14"/>
      <c r="K3" s="14"/>
      <c r="L3" s="14"/>
      <c r="M3" s="15" t="s">
        <v>50</v>
      </c>
      <c r="N3" s="15"/>
      <c r="O3" s="15"/>
      <c r="P3" s="15"/>
    </row>
    <row r="4" customFormat="false" ht="43.5" hidden="false" customHeight="true" outlineLevel="0" collapsed="false">
      <c r="A4" s="16" t="n">
        <f aca="false">SUMPRODUCT(Inventory!F2:F100*Inventory!H2:H100)</f>
        <v>14410.46625</v>
      </c>
      <c r="B4" s="16"/>
      <c r="C4" s="16"/>
      <c r="D4" s="16"/>
      <c r="E4" s="17" t="n">
        <f aca="false">SUMPRODUCT((Inventory!G2:G100-Inventory!F2:F100)*Inventory!H2:H100)</f>
        <v>4183.68375</v>
      </c>
      <c r="F4" s="17"/>
      <c r="G4" s="17"/>
      <c r="H4" s="17"/>
      <c r="I4" s="18" t="n">
        <f aca="false">SUM(Inventory!H2:H100)</f>
        <v>82</v>
      </c>
      <c r="J4" s="18"/>
      <c r="K4" s="18"/>
      <c r="L4" s="18"/>
      <c r="M4" s="19" t="n">
        <f aca="false">COUNTA(Inventory!B2:B100)</f>
        <v>9</v>
      </c>
      <c r="N4" s="19"/>
      <c r="O4" s="19"/>
      <c r="P4" s="19"/>
    </row>
    <row r="5" customFormat="false" ht="16.5" hidden="false" customHeight="true" outlineLevel="0" collapsed="false">
      <c r="A5" s="20" t="s">
        <v>51</v>
      </c>
      <c r="B5" s="20"/>
      <c r="C5" s="20"/>
      <c r="D5" s="20"/>
      <c r="E5" s="21" t="s">
        <v>52</v>
      </c>
      <c r="F5" s="21"/>
      <c r="G5" s="21"/>
      <c r="H5" s="21"/>
      <c r="I5" s="22" t="s">
        <v>53</v>
      </c>
      <c r="J5" s="22"/>
      <c r="K5" s="22"/>
      <c r="L5" s="22"/>
      <c r="M5" s="23" t="s">
        <v>54</v>
      </c>
      <c r="N5" s="23"/>
      <c r="O5" s="23"/>
      <c r="P5" s="23"/>
    </row>
    <row r="6" customFormat="false" ht="9.7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</sheetData>
  <mergeCells count="13">
    <mergeCell ref="A1:P1"/>
    <mergeCell ref="A3:D3"/>
    <mergeCell ref="E3:H3"/>
    <mergeCell ref="I3:L3"/>
    <mergeCell ref="M3:P3"/>
    <mergeCell ref="A4:D4"/>
    <mergeCell ref="E4:H4"/>
    <mergeCell ref="I4:L4"/>
    <mergeCell ref="M4:P4"/>
    <mergeCell ref="A5:D5"/>
    <mergeCell ref="E5:H5"/>
    <mergeCell ref="I5:L5"/>
    <mergeCell ref="M5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</v>
      </c>
      <c r="B1" s="0" t="s">
        <v>55</v>
      </c>
      <c r="C1" s="0" t="s">
        <v>56</v>
      </c>
      <c r="D1" s="0" t="s">
        <v>57</v>
      </c>
      <c r="F1" s="0" t="s">
        <v>4</v>
      </c>
      <c r="G1" s="0" t="s">
        <v>57</v>
      </c>
      <c r="I1" s="0" t="s">
        <v>2</v>
      </c>
      <c r="J1" s="0" t="s">
        <v>58</v>
      </c>
    </row>
    <row r="2" customFormat="false" ht="15" hidden="false" customHeight="false" outlineLevel="0" collapsed="false">
      <c r="A2" s="0" t="s">
        <v>28</v>
      </c>
      <c r="B2" s="0" t="n">
        <f aca="false">SUMPRODUCT((Inventory!$D$2:$D$100=A2)*(Inventory!$F$2:$F$100)*(Inventory!$H$2:$H$100))</f>
        <v>3200.037</v>
      </c>
      <c r="C2" s="0" t="n">
        <f aca="false">IFERROR(AVERAGEIF(Inventory!$D$2:$D$100,A2,Inventory!$G$2:$G$100),0)</f>
        <v>344.09</v>
      </c>
      <c r="D2" s="0" t="n">
        <f aca="false">SUMIF(Inventory!$D$2:$D$100,A2,Inventory!$H$2:$H$100)</f>
        <v>12</v>
      </c>
      <c r="F2" s="0" t="s">
        <v>20</v>
      </c>
      <c r="G2" s="0" t="n">
        <f aca="false">SUMIF(Inventory!$E$2:$E$100,F2,Inventory!$H$2:$H$100)</f>
        <v>25</v>
      </c>
      <c r="I2" s="0" t="str">
        <f aca="false">IFERROR(INDEX(Inventory!$C$2:$C$100,MATCH(LARGE(Inventory!$G$2:$G$100,1),Inventory!$G$2:$G$100,0)),"N/A")</f>
        <v>Acer Aspire 3 15.6"</v>
      </c>
      <c r="J2" s="0" t="n">
        <f aca="false">IFERROR(LARGE(Inventory!$G$2:$G$100,1),0)</f>
        <v>344.09</v>
      </c>
    </row>
    <row r="3" customFormat="false" ht="15" hidden="false" customHeight="false" outlineLevel="0" collapsed="false">
      <c r="A3" s="0" t="s">
        <v>29</v>
      </c>
      <c r="B3" s="0" t="n">
        <f aca="false">SUMPRODUCT((Inventory!$D$2:$D$100=A3)*(Inventory!$F$2:$F$100)*(Inventory!$H$2:$H$100))</f>
        <v>403</v>
      </c>
      <c r="C3" s="0" t="n">
        <f aca="false">IFERROR(AVERAGEIF(Inventory!$D$2:$D$100,A3,Inventory!$G$2:$G$100),0)</f>
        <v>52</v>
      </c>
      <c r="D3" s="0" t="n">
        <f aca="false">SUMIF(Inventory!$D$2:$D$100,A3,Inventory!$H$2:$H$100)</f>
        <v>10</v>
      </c>
      <c r="F3" s="0" t="s">
        <v>14</v>
      </c>
      <c r="G3" s="0" t="n">
        <f aca="false">SUMIF(Inventory!$E$2:$E$100,F3,Inventory!$H$2:$H$100)</f>
        <v>10</v>
      </c>
      <c r="I3" s="0" t="str">
        <f aca="false">IFERROR(INDEX(Inventory!$C$2:$C$100,MATCH(LARGE(Inventory!$G$2:$G$100,2),Inventory!$G$2:$G$100,0)),"N/A")</f>
        <v>Lenovo ThinkPad X13 Yoga Gen 2 Laptop 13.3"</v>
      </c>
      <c r="J3" s="0" t="n">
        <f aca="false">IFERROR(LARGE(Inventory!$G$2:$G$100,2),0)</f>
        <v>302.68</v>
      </c>
    </row>
    <row r="4" customFormat="false" ht="15" hidden="false" customHeight="false" outlineLevel="0" collapsed="false">
      <c r="A4" s="0" t="s">
        <v>13</v>
      </c>
      <c r="B4" s="0" t="n">
        <f aca="false">SUMPRODUCT((Inventory!$D$2:$D$100=A4)*(Inventory!$F$2:$F$100)*(Inventory!$H$2:$H$100))</f>
        <v>4605.949</v>
      </c>
      <c r="C4" s="0" t="n">
        <f aca="false">IFERROR(AVERAGEIF(Inventory!$D$2:$D$100,A4,Inventory!$G$2:$G$100),0)</f>
        <v>246.493333333333</v>
      </c>
      <c r="D4" s="0" t="n">
        <f aca="false">SUMIF(Inventory!$D$2:$D$100,A4,Inventory!$H$2:$H$100)</f>
        <v>23</v>
      </c>
      <c r="F4" s="0" t="s">
        <v>32</v>
      </c>
      <c r="G4" s="0" t="n">
        <f aca="false">SUMIF(Inventory!$E$2:$E$100,F4,Inventory!$H$2:$H$100)</f>
        <v>47</v>
      </c>
      <c r="I4" s="0" t="str">
        <f aca="false">IFERROR(INDEX(Inventory!$C$2:$C$100,MATCH(LARGE(Inventory!$G$2:$G$100,3),Inventory!$G$2:$G$100,0)),"N/A")</f>
        <v>Dell Latitude Business Laptop 14"</v>
      </c>
      <c r="J4" s="0" t="n">
        <f aca="false">IFERROR(LARGE(Inventory!$G$2:$G$100,3),0)</f>
        <v>289.65</v>
      </c>
    </row>
    <row r="5" customFormat="false" ht="15" hidden="false" customHeight="false" outlineLevel="0" collapsed="false">
      <c r="A5" s="0" t="s">
        <v>19</v>
      </c>
      <c r="B5" s="0" t="n">
        <f aca="false">SUMPRODUCT((Inventory!$D$2:$D$100=A5)*(Inventory!$F$2:$F$100)*(Inventory!$H$2:$H$100))</f>
        <v>131.74225</v>
      </c>
      <c r="C5" s="0" t="n">
        <f aca="false">IFERROR(AVERAGEIF(Inventory!$D$2:$D$100,A5,Inventory!$G$2:$G$100),0)</f>
        <v>169.99</v>
      </c>
      <c r="D5" s="0" t="n">
        <f aca="false">SUMIF(Inventory!$D$2:$D$100,A5,Inventory!$H$2:$H$100)</f>
        <v>1</v>
      </c>
      <c r="I5" s="0" t="str">
        <f aca="false">IFERROR(INDEX(Inventory!$C$2:$C$100,MATCH(LARGE(Inventory!$G$2:$G$100,4),Inventory!$G$2:$G$100,0)),"N/A")</f>
        <v>Microsoft Surface Pro 12.4" Laptop</v>
      </c>
      <c r="J5" s="0" t="n">
        <f aca="false">IFERROR(LARGE(Inventory!$G$2:$G$100,4),0)</f>
        <v>239.99</v>
      </c>
    </row>
    <row r="6" customFormat="false" ht="15" hidden="false" customHeight="false" outlineLevel="0" collapsed="false">
      <c r="A6" s="0" t="s">
        <v>39</v>
      </c>
      <c r="B6" s="0" t="n">
        <f aca="false">SUMPRODUCT((Inventory!$D$2:$D$100=A6)*(Inventory!$F$2:$F$100)*(Inventory!$H$2:$H$100))</f>
        <v>3837.831</v>
      </c>
      <c r="C6" s="0" t="n">
        <f aca="false">IFERROR(AVERAGEIF(Inventory!$D$2:$D$100,A6,Inventory!$G$2:$G$100),0)</f>
        <v>206.335</v>
      </c>
      <c r="D6" s="0" t="n">
        <f aca="false">SUMIF(Inventory!$D$2:$D$100,A6,Inventory!$H$2:$H$100)</f>
        <v>24</v>
      </c>
      <c r="I6" s="0" t="str">
        <f aca="false">IFERROR(INDEX(Inventory!$C$2:$C$100,MATCH(LARGE(Inventory!$G$2:$G$100,5),Inventory!$G$2:$G$100,0)),"N/A")</f>
        <v>Dell Latitude 15.6" FHD</v>
      </c>
      <c r="J6" s="0" t="n">
        <f aca="false">IFERROR(LARGE(Inventory!$G$2:$G$100,5),0)</f>
        <v>225.66</v>
      </c>
    </row>
    <row r="7" customFormat="false" ht="15" hidden="false" customHeight="false" outlineLevel="0" collapsed="false">
      <c r="A7" s="0" t="s">
        <v>24</v>
      </c>
      <c r="B7" s="0" t="n">
        <f aca="false">SUMPRODUCT((Inventory!$D$2:$D$100=A7)*(Inventory!$F$2:$F$100)*(Inventory!$H$2:$H$100))</f>
        <v>2231.907</v>
      </c>
      <c r="C7" s="0" t="n">
        <f aca="false">IFERROR(AVERAGEIF(Inventory!$D$2:$D$100,A7,Inventory!$G$2:$G$100),0)</f>
        <v>239.99</v>
      </c>
      <c r="D7" s="0" t="n">
        <f aca="false">SUMIF(Inventory!$D$2:$D$100,A7,Inventory!$H$2:$H$100)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2026-06-18T06:06:37Z</dcterms:created>
  <dc:creator>openpyxl</dc:creator>
  <dc:description/>
  <dc:language>en-US</dc:language>
  <cp:lastModifiedBy/>
  <dcterms:modified xsi:type="dcterms:W3CDTF">2026-06-18T06:06:44Z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